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ca7ab93f71e7634/Documentos/DIO ME/BOOTCAMP RECLAME AQUI DADOS e IA NA PRÁTICA/excel-tool/"/>
    </mc:Choice>
  </mc:AlternateContent>
  <xr:revisionPtr revIDLastSave="29" documentId="8_{8719D1E8-F295-41FD-B500-5C95A1DDFDAA}" xr6:coauthVersionLast="47" xr6:coauthVersionMax="47" xr10:uidLastSave="{4E084F6F-1E04-4BF9-A161-298C63684719}"/>
  <bookViews>
    <workbookView xWindow="-110" yWindow="-110" windowWidth="25820" windowHeight="15500" xr2:uid="{91C741D1-7162-4CFD-9CB2-8A11201602D7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29" i="1" l="1"/>
  <c r="E29" i="1"/>
  <c r="G20" i="1"/>
  <c r="F20" i="1"/>
  <c r="G9" i="1"/>
  <c r="F9" i="1"/>
  <c r="F5" i="1"/>
  <c r="D5" i="1"/>
  <c r="B5" i="1"/>
</calcChain>
</file>

<file path=xl/sharedStrings.xml><?xml version="1.0" encoding="utf-8"?>
<sst xmlns="http://schemas.openxmlformats.org/spreadsheetml/2006/main" count="78" uniqueCount="70">
  <si>
    <t>LESTER FINANCE - ORGANIZADOR DE IMPOSTO DE RENDA</t>
  </si>
  <si>
    <t>Total de Rendimentos</t>
  </si>
  <si>
    <t>Total de Despesas Dedutíveis</t>
  </si>
  <si>
    <t>Variação Patrimonial</t>
  </si>
  <si>
    <t>Rendimentos Tributáveis</t>
  </si>
  <si>
    <t>Fonte Pagadora</t>
  </si>
  <si>
    <t>CNPJ</t>
  </si>
  <si>
    <t>Tipo de Rendimento</t>
  </si>
  <si>
    <t>Valor Recebido</t>
  </si>
  <si>
    <t>IRRF</t>
  </si>
  <si>
    <t>Status Campo</t>
  </si>
  <si>
    <t>Empresa Alfa LTDA</t>
  </si>
  <si>
    <t>12.345.678/0001-99</t>
  </si>
  <si>
    <t>Salário</t>
  </si>
  <si>
    <t>OK</t>
  </si>
  <si>
    <t>Locatário João Silva</t>
  </si>
  <si>
    <t>000.000.000-00</t>
  </si>
  <si>
    <t>Aluguel</t>
  </si>
  <si>
    <t>Rendimentos Isentos</t>
  </si>
  <si>
    <t>Valor</t>
  </si>
  <si>
    <t>Rendimentos de Poupança</t>
  </si>
  <si>
    <t>Banco do Brasil S.A.</t>
  </si>
  <si>
    <t>Dividendos Recebidos</t>
  </si>
  <si>
    <t>Petrobras S.A.</t>
  </si>
  <si>
    <t>Distribuição de Lucros</t>
  </si>
  <si>
    <t>Bens e Direitos</t>
  </si>
  <si>
    <t>Código RF</t>
  </si>
  <si>
    <t>Descrição do Bem</t>
  </si>
  <si>
    <t>Localização</t>
  </si>
  <si>
    <t>Situação Ano Anterior</t>
  </si>
  <si>
    <t>Situação Ano Atual</t>
  </si>
  <si>
    <t>11 - Apartamento</t>
  </si>
  <si>
    <t>Apartamento Residencial em Brasília DF</t>
  </si>
  <si>
    <t>Brasil</t>
  </si>
  <si>
    <t>21 - Veículo</t>
  </si>
  <si>
    <t>Automóvel Sedan Flex Ano 2022</t>
  </si>
  <si>
    <t>Dívidas e Ônus</t>
  </si>
  <si>
    <t>11 - Banco</t>
  </si>
  <si>
    <t>Banco Itaú S.A.</t>
  </si>
  <si>
    <t>Empréstimo Pessoal Consignado</t>
  </si>
  <si>
    <t>12 - Financiamento</t>
  </si>
  <si>
    <t>Caixa Econômica Federal</t>
  </si>
  <si>
    <t>Saldo Devedor de Financiamento</t>
  </si>
  <si>
    <t>Despesas Dedutíveis</t>
  </si>
  <si>
    <t>Tipo de Despesa</t>
  </si>
  <si>
    <t>Beneficiário</t>
  </si>
  <si>
    <t>CPF / CNPJ</t>
  </si>
  <si>
    <t>Análise Limite</t>
  </si>
  <si>
    <t>Educação</t>
  </si>
  <si>
    <t>Colégio Delta</t>
  </si>
  <si>
    <t>11.222.333/0001-44</t>
  </si>
  <si>
    <t>Saúde</t>
  </si>
  <si>
    <t>Clínica Sorriso LTDA</t>
  </si>
  <si>
    <t>44.555.666/0001-77</t>
  </si>
  <si>
    <t>Elegível</t>
  </si>
  <si>
    <t>Documentos Comprovantes</t>
  </si>
  <si>
    <t>Categoria do Documento</t>
  </si>
  <si>
    <t>Descrição do Arquivo</t>
  </si>
  <si>
    <t>Status Comprovante</t>
  </si>
  <si>
    <t>Link Digitalizador</t>
  </si>
  <si>
    <t>Informe de Rendimentos</t>
  </si>
  <si>
    <t>Informe Anual Empresa Alfa</t>
  </si>
  <si>
    <t>C:\ImpostoRenda\Informes\alfa.pdf</t>
  </si>
  <si>
    <t>Recibo Médico</t>
  </si>
  <si>
    <t>Consulta Clínica Sorriso</t>
  </si>
  <si>
    <t>C:\ImpostoRenda\Recibos\saude01.pdf</t>
  </si>
  <si>
    <t>Extrato Bancário</t>
  </si>
  <si>
    <t>Informe de Saldos Banco do Brasil</t>
  </si>
  <si>
    <t>Pendente</t>
  </si>
  <si>
    <t>Link Omissor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</si>
</sst>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theme="0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0" fontId="4" fillId="0" borderId="0" xfId="0" applyFont="1"/>
    <xf numFmtId="44" fontId="4" fillId="0" borderId="0" xfId="1" applyFont="1"/>
    <xf numFmtId="0" fontId="3" fillId="2" borderId="0" xfId="0" applyFont="1" applyFill="1" applyAlignment="1" applyProtection="1">
      <alignment horizontal="center" vertical="center"/>
    </xf>
    <xf numFmtId="0" fontId="4" fillId="0" borderId="0" xfId="0" applyFont="1" applyProtection="1"/>
    <xf numFmtId="0" fontId="5" fillId="0" borderId="0" xfId="0" applyFont="1" applyProtection="1"/>
    <xf numFmtId="0" fontId="2" fillId="0" borderId="0" xfId="0" applyFont="1" applyProtection="1"/>
    <xf numFmtId="44" fontId="4" fillId="3" borderId="0" xfId="0" applyNumberFormat="1" applyFont="1" applyFill="1" applyProtection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1B238-76B2-4BAC-BC76-A2BE6BFA3779}">
  <dimension ref="A1:H36"/>
  <sheetViews>
    <sheetView showGridLines="0" showRowColHeaders="0" tabSelected="1" workbookViewId="0">
      <selection activeCell="L21" sqref="L21"/>
    </sheetView>
  </sheetViews>
  <sheetFormatPr defaultRowHeight="12" x14ac:dyDescent="0.3"/>
  <cols>
    <col min="1" max="1" width="24.26953125" style="1" bestFit="1" customWidth="1"/>
    <col min="2" max="2" width="27.26953125" style="1" bestFit="1" customWidth="1"/>
    <col min="3" max="3" width="22.453125" style="1" bestFit="1" customWidth="1"/>
    <col min="4" max="4" width="27.1796875" style="1" bestFit="1" customWidth="1"/>
    <col min="5" max="5" width="22.26953125" style="1" bestFit="1" customWidth="1"/>
    <col min="6" max="6" width="15.1796875" style="1" bestFit="1" customWidth="1"/>
    <col min="7" max="7" width="6.08984375" style="1" bestFit="1" customWidth="1"/>
    <col min="8" max="16384" width="8.7265625" style="1"/>
  </cols>
  <sheetData>
    <row r="1" spans="1:8" x14ac:dyDescent="0.3">
      <c r="A1" s="3" t="s">
        <v>0</v>
      </c>
      <c r="B1" s="3"/>
      <c r="C1" s="3"/>
      <c r="D1" s="3"/>
      <c r="E1" s="3"/>
      <c r="F1" s="3"/>
      <c r="G1" s="3"/>
      <c r="H1" s="3"/>
    </row>
    <row r="2" spans="1:8" x14ac:dyDescent="0.3">
      <c r="A2" s="3"/>
      <c r="B2" s="3"/>
      <c r="C2" s="3"/>
      <c r="D2" s="3"/>
      <c r="E2" s="3"/>
      <c r="F2" s="3"/>
      <c r="G2" s="3"/>
      <c r="H2" s="3"/>
    </row>
    <row r="3" spans="1:8" x14ac:dyDescent="0.3">
      <c r="A3" s="4"/>
      <c r="B3" s="4"/>
      <c r="C3" s="4"/>
      <c r="D3" s="4"/>
      <c r="E3" s="4"/>
      <c r="F3" s="4"/>
      <c r="G3" s="4"/>
      <c r="H3" s="4"/>
    </row>
    <row r="4" spans="1:8" x14ac:dyDescent="0.3">
      <c r="A4" s="4"/>
      <c r="B4" s="5" t="s">
        <v>1</v>
      </c>
      <c r="C4" s="5"/>
      <c r="D4" s="5" t="s">
        <v>2</v>
      </c>
      <c r="E4" s="5"/>
      <c r="F4" s="5" t="s">
        <v>3</v>
      </c>
      <c r="G4" s="4"/>
      <c r="H4" s="4"/>
    </row>
    <row r="5" spans="1:8" x14ac:dyDescent="0.3">
      <c r="B5" s="7">
        <f>SUM(D9:D10)+SUM(C14:C16)</f>
        <v>115650</v>
      </c>
      <c r="C5" s="4"/>
      <c r="D5" s="7">
        <f>SUM(D29:D30)</f>
        <v>5700</v>
      </c>
      <c r="E5" s="4"/>
      <c r="F5" s="7">
        <f>SUM(F20:F21)</f>
        <v>0</v>
      </c>
    </row>
    <row r="7" spans="1:8" x14ac:dyDescent="0.3">
      <c r="A7" s="5" t="s">
        <v>4</v>
      </c>
      <c r="B7" s="4"/>
      <c r="C7" s="4"/>
      <c r="D7" s="4"/>
      <c r="E7" s="4"/>
      <c r="F7" s="4"/>
      <c r="G7" s="4"/>
      <c r="H7" s="4"/>
    </row>
    <row r="8" spans="1:8" x14ac:dyDescent="0.3">
      <c r="A8" s="4" t="s">
        <v>5</v>
      </c>
      <c r="B8" s="4" t="s">
        <v>6</v>
      </c>
      <c r="C8" s="4" t="s">
        <v>7</v>
      </c>
      <c r="D8" s="4" t="s">
        <v>8</v>
      </c>
      <c r="E8" s="4" t="s">
        <v>9</v>
      </c>
      <c r="F8" s="4" t="s">
        <v>10</v>
      </c>
      <c r="G8" s="4"/>
      <c r="H8" s="4"/>
    </row>
    <row r="9" spans="1:8" x14ac:dyDescent="0.3">
      <c r="A9" s="1" t="s">
        <v>11</v>
      </c>
      <c r="B9" s="1" t="s">
        <v>12</v>
      </c>
      <c r="C9" s="1" t="s">
        <v>13</v>
      </c>
      <c r="D9" s="2">
        <v>85000</v>
      </c>
      <c r="E9" s="2">
        <v>4200</v>
      </c>
      <c r="F9" s="1" t="str">
        <f>IF(OR(A9="",B9="",D9=""),"⚠️ Campo Vazio","OK")</f>
        <v>OK</v>
      </c>
      <c r="G9" s="1" t="str">
        <f>IF(OR(B9="",C9="",E9=""),"⚠️ Campo Vazio","OK")</f>
        <v>OK</v>
      </c>
    </row>
    <row r="10" spans="1:8" x14ac:dyDescent="0.3">
      <c r="A10" s="1" t="s">
        <v>15</v>
      </c>
      <c r="B10" s="1" t="s">
        <v>16</v>
      </c>
      <c r="C10" s="1" t="s">
        <v>17</v>
      </c>
      <c r="D10" s="2">
        <v>12000</v>
      </c>
      <c r="E10" s="2">
        <v>0</v>
      </c>
      <c r="F10" s="1" t="s">
        <v>14</v>
      </c>
    </row>
    <row r="12" spans="1:8" ht="14.5" x14ac:dyDescent="0.35">
      <c r="A12" s="6" t="s">
        <v>18</v>
      </c>
      <c r="B12" s="4"/>
      <c r="C12" s="4"/>
      <c r="D12" s="4"/>
      <c r="E12" s="4"/>
      <c r="F12" s="4"/>
      <c r="G12" s="4"/>
      <c r="H12" s="4"/>
    </row>
    <row r="13" spans="1:8" x14ac:dyDescent="0.3">
      <c r="A13" s="5" t="s">
        <v>7</v>
      </c>
      <c r="B13" s="5" t="s">
        <v>5</v>
      </c>
      <c r="C13" s="5" t="s">
        <v>19</v>
      </c>
      <c r="D13" s="4"/>
      <c r="E13" s="4"/>
      <c r="F13" s="4"/>
      <c r="G13" s="4"/>
      <c r="H13" s="4"/>
    </row>
    <row r="14" spans="1:8" x14ac:dyDescent="0.3">
      <c r="A14" s="1" t="s">
        <v>20</v>
      </c>
      <c r="B14" s="1" t="s">
        <v>21</v>
      </c>
      <c r="C14" s="2">
        <v>450</v>
      </c>
    </row>
    <row r="15" spans="1:8" x14ac:dyDescent="0.3">
      <c r="A15" s="1" t="s">
        <v>22</v>
      </c>
      <c r="B15" s="1" t="s">
        <v>23</v>
      </c>
      <c r="C15" s="2">
        <v>3200</v>
      </c>
    </row>
    <row r="16" spans="1:8" x14ac:dyDescent="0.3">
      <c r="A16" s="1" t="s">
        <v>24</v>
      </c>
      <c r="B16" s="1" t="s">
        <v>11</v>
      </c>
      <c r="C16" s="2">
        <v>15000</v>
      </c>
    </row>
    <row r="18" spans="1:8" ht="14.5" x14ac:dyDescent="0.35">
      <c r="A18" s="6" t="s">
        <v>25</v>
      </c>
      <c r="B18" s="4"/>
      <c r="C18" s="4"/>
      <c r="D18" s="4"/>
      <c r="E18" s="4"/>
      <c r="F18" s="4"/>
      <c r="G18" s="4"/>
      <c r="H18" s="4"/>
    </row>
    <row r="19" spans="1:8" x14ac:dyDescent="0.3">
      <c r="A19" s="5" t="s">
        <v>26</v>
      </c>
      <c r="B19" s="5" t="s">
        <v>27</v>
      </c>
      <c r="C19" s="5" t="s">
        <v>28</v>
      </c>
      <c r="D19" s="5" t="s">
        <v>29</v>
      </c>
      <c r="E19" s="5" t="s">
        <v>30</v>
      </c>
      <c r="F19" s="5" t="s">
        <v>3</v>
      </c>
      <c r="G19" s="4"/>
      <c r="H19" s="4"/>
    </row>
    <row r="20" spans="1:8" x14ac:dyDescent="0.3">
      <c r="A20" s="1" t="s">
        <v>31</v>
      </c>
      <c r="B20" s="1" t="s">
        <v>32</v>
      </c>
      <c r="C20" s="1" t="s">
        <v>33</v>
      </c>
      <c r="D20" s="2">
        <v>350000</v>
      </c>
      <c r="E20" s="2">
        <v>350000</v>
      </c>
      <c r="F20" s="2">
        <f>IF(E20&gt;=D20, E20-D20, 0)</f>
        <v>0</v>
      </c>
      <c r="G20" s="2">
        <f>IF(F20&gt;=E20, F20-E20, 0)</f>
        <v>0</v>
      </c>
    </row>
    <row r="21" spans="1:8" x14ac:dyDescent="0.3">
      <c r="A21" s="1" t="s">
        <v>34</v>
      </c>
      <c r="B21" s="1" t="s">
        <v>35</v>
      </c>
      <c r="C21" s="1" t="s">
        <v>33</v>
      </c>
      <c r="D21" s="2">
        <v>65000</v>
      </c>
      <c r="E21" s="2">
        <v>60000</v>
      </c>
      <c r="F21" s="2">
        <v>0</v>
      </c>
    </row>
    <row r="23" spans="1:8" ht="14.5" x14ac:dyDescent="0.35">
      <c r="A23" s="6" t="s">
        <v>36</v>
      </c>
      <c r="B23" s="4"/>
      <c r="C23" s="4"/>
      <c r="D23" s="4"/>
      <c r="E23" s="4"/>
      <c r="F23" s="4"/>
      <c r="G23" s="4"/>
      <c r="H23" s="4"/>
    </row>
    <row r="24" spans="1:8" x14ac:dyDescent="0.3">
      <c r="A24" s="1" t="s">
        <v>37</v>
      </c>
      <c r="B24" s="1" t="s">
        <v>38</v>
      </c>
      <c r="C24" s="1" t="s">
        <v>39</v>
      </c>
      <c r="D24" s="2">
        <v>15000</v>
      </c>
      <c r="E24" s="2">
        <v>8000</v>
      </c>
    </row>
    <row r="25" spans="1:8" x14ac:dyDescent="0.3">
      <c r="A25" s="1" t="s">
        <v>40</v>
      </c>
      <c r="B25" s="1" t="s">
        <v>41</v>
      </c>
      <c r="C25" s="1" t="s">
        <v>42</v>
      </c>
      <c r="D25" s="2">
        <v>0</v>
      </c>
      <c r="E25" s="2">
        <v>45000</v>
      </c>
    </row>
    <row r="27" spans="1:8" ht="14.5" x14ac:dyDescent="0.35">
      <c r="A27" s="6" t="s">
        <v>43</v>
      </c>
      <c r="B27" s="4"/>
      <c r="C27" s="4"/>
      <c r="D27" s="4"/>
      <c r="E27" s="4"/>
      <c r="F27" s="4"/>
      <c r="G27" s="4"/>
      <c r="H27" s="4"/>
    </row>
    <row r="28" spans="1:8" x14ac:dyDescent="0.3">
      <c r="A28" s="4" t="s">
        <v>44</v>
      </c>
      <c r="B28" s="4" t="s">
        <v>45</v>
      </c>
      <c r="C28" s="4" t="s">
        <v>46</v>
      </c>
      <c r="D28" s="4" t="s">
        <v>19</v>
      </c>
      <c r="E28" s="4" t="s">
        <v>47</v>
      </c>
      <c r="F28" s="4"/>
      <c r="G28" s="4"/>
      <c r="H28" s="4"/>
    </row>
    <row r="29" spans="1:8" x14ac:dyDescent="0.3">
      <c r="A29" s="1" t="s">
        <v>48</v>
      </c>
      <c r="B29" s="1" t="s">
        <v>49</v>
      </c>
      <c r="C29" s="1" t="s">
        <v>50</v>
      </c>
      <c r="D29" s="2">
        <v>4500</v>
      </c>
      <c r="E29" s="1" t="str">
        <f>IF(AND(A29="Educação",D29&gt;3561.5), "⚠️ Ultrapassou Limite Individual", "Elegível")</f>
        <v>⚠️ Ultrapassou Limite Individual</v>
      </c>
      <c r="F29" s="1" t="str">
        <f>IF(AND(B29="Educação",E29&gt;3561.5), "⚠️ Ultrapassou Limite Individual", "Elegível")</f>
        <v>Elegível</v>
      </c>
    </row>
    <row r="30" spans="1:8" x14ac:dyDescent="0.3">
      <c r="A30" s="1" t="s">
        <v>51</v>
      </c>
      <c r="B30" s="1" t="s">
        <v>52</v>
      </c>
      <c r="C30" s="1" t="s">
        <v>53</v>
      </c>
      <c r="D30" s="2">
        <v>1200</v>
      </c>
      <c r="E30" s="1" t="s">
        <v>54</v>
      </c>
    </row>
    <row r="32" spans="1:8" ht="14.5" x14ac:dyDescent="0.35">
      <c r="A32" s="6" t="s">
        <v>55</v>
      </c>
      <c r="B32" s="4"/>
      <c r="C32" s="4"/>
      <c r="D32" s="4"/>
      <c r="E32" s="4"/>
      <c r="F32" s="4"/>
      <c r="G32" s="4"/>
      <c r="H32" s="4"/>
    </row>
    <row r="33" spans="1:8" x14ac:dyDescent="0.3">
      <c r="A33" s="4" t="s">
        <v>56</v>
      </c>
      <c r="B33" s="4" t="s">
        <v>57</v>
      </c>
      <c r="C33" s="4" t="s">
        <v>58</v>
      </c>
      <c r="D33" s="4" t="s">
        <v>59</v>
      </c>
      <c r="E33" s="4"/>
      <c r="F33" s="4"/>
      <c r="G33" s="4"/>
      <c r="H33" s="4"/>
    </row>
    <row r="34" spans="1:8" x14ac:dyDescent="0.3">
      <c r="A34" s="1" t="s">
        <v>60</v>
      </c>
      <c r="B34" s="1" t="s">
        <v>61</v>
      </c>
      <c r="C34" s="1" t="s">
        <v>14</v>
      </c>
      <c r="D34" s="1" t="s">
        <v>62</v>
      </c>
    </row>
    <row r="35" spans="1:8" x14ac:dyDescent="0.3">
      <c r="A35" s="1" t="s">
        <v>63</v>
      </c>
      <c r="B35" s="1" t="s">
        <v>64</v>
      </c>
      <c r="C35" s="1" t="s">
        <v>14</v>
      </c>
      <c r="D35" s="1" t="s">
        <v>65</v>
      </c>
    </row>
    <row r="36" spans="1:8" x14ac:dyDescent="0.3">
      <c r="A36" s="1" t="s">
        <v>66</v>
      </c>
      <c r="B36" s="1" t="s">
        <v>67</v>
      </c>
      <c r="C36" s="1" t="s">
        <v>68</v>
      </c>
      <c r="D36" s="1" t="s">
        <v>69</v>
      </c>
    </row>
  </sheetData>
  <mergeCells count="1">
    <mergeCell ref="A1:H2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LESTER RIBEIRO</dc:creator>
  <cp:lastModifiedBy>LESTER RIBEIRO</cp:lastModifiedBy>
  <dcterms:created xsi:type="dcterms:W3CDTF">2026-10-19T21:25:12Z</dcterms:created>
  <dcterms:modified xsi:type="dcterms:W3CDTF">2026-10-19T22:27:37Z</dcterms:modified>
</cp:coreProperties>
</file>